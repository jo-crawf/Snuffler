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richData/rdrichvalue.xml" ContentType="application/vnd.ms-excel.rdrichvalue+xml"/>
  <Override PartName="/xl/richData/richValueRel.xml" ContentType="application/vnd.ms-excel.richvaluerel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ing" sheetId="1" state="visible" r:id="rId1"/>
    <sheet name="Pall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Rd1" Type="http://schemas.microsoft.com/office/2017/06/relationships/rdRichValue" Target="richData/rdrichvalue.xml"/><Relationship Id="rIdRd2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Relationship Id="rId2" Type="http://schemas.openxmlformats.org/officeDocument/2006/relationships/image" Target="../media/image2.png"/><Relationship Id="rId3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1828800" cy="1371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1371600"/>
        </a:xfrm>
        <a:prstGeom prst="rect">
          <a:avLst/>
        </a:prstGeom>
      </xdr:spPr>
    </xdr:pic>
    <xdr:clientData/>
  </xdr:oneCellAnchor>
  <xdr:twoCellAnchor editAs="oneCell">
    <xdr:from>
      <xdr:col>8</xdr:col>
      <xdr:colOff>0</xdr:colOff>
      <xdr:row>2</xdr:row>
      <xdr:rowOff>0</xdr:rowOff>
    </xdr:from>
    <xdr:to>
      <xdr:col>12</xdr:col>
      <xdr:colOff>0</xdr:colOff>
      <xdr:row>14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57600" cy="2743200"/>
        </a:xfrm>
        <a:prstGeom prst="rect">
          <a:avLst/>
        </a:prstGeom>
      </xdr:spPr>
    </xdr:pic>
    <xdr:clientData/>
  </xdr:twoCellAnchor>
  <xdr:absoluteAnchor>
    <xdr:pos x="5486400" y="4572000"/>
    <xdr:ext cx="914400" cy="6858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14400" cy="685800"/>
        </a:xfrm>
        <a:prstGeom prst="rect">
          <a:avLst/>
        </a:prstGeom>
      </xdr:spPr>
    </xdr:pic>
    <xdr:clientData/>
  </xdr:absoluteAnchor>
  <xdr:twoCellAnchor>
    <xdr:from>
      <xdr:col>3</xdr:col>
      <xdr:colOff>0</xdr:colOff>
      <xdr:row>20</xdr:row>
      <xdr:rowOff>0</xdr:rowOff>
    </xdr:from>
    <xdr:to>
      <xdr:col>7</xdr:col>
      <xdr:colOff>0</xdr:colOff>
      <xdr:row>24</xdr:row>
      <xdr:rowOff>0</xdr:rowOff>
    </xdr:to>
    <xdr:sp macro="" textlink="">
      <xdr:nvSpPr>
        <xdr:cNvPr id="5" name="TextBox 4"/>
        <xdr:cNvSpPr txBox="1"/>
      </xdr:nvSpPr>
      <xdr:spPr>
        <a:prstGeom prst="rect">
          <a:avLst/>
        </a:prstGeom>
      </xdr:spPr>
      <xdr:txBody>
        <a:bodyPr/>
        <a:p>
          <a:r>
            <a:t>Approved for costing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richData/rdrichvalue.xml><?xml version="1.0" encoding="utf-8"?>
<rvData xmlns="http://schemas.microsoft.com/office/spreadsheetml/2017/richdata" count="1">
  <rv s="0">
    <v>0</v>
    <v>5</v>
  </rv>
</rvData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Description</t>
        </is>
      </c>
      <c r="C1" t="inlineStr">
        <is>
          <t>Qty</t>
        </is>
      </c>
      <c r="D1" t="inlineStr">
        <is>
          <t>FOB</t>
        </is>
      </c>
      <c r="E1" t="inlineStr">
        <is>
          <t>Duty %</t>
        </is>
      </c>
      <c r="F1" t="inlineStr">
        <is>
          <t>Landed</t>
        </is>
      </c>
      <c r="G1" t="inlineStr">
        <is>
          <t>Ships</t>
        </is>
      </c>
    </row>
    <row r="2">
      <c r="A2" t="inlineStr">
        <is>
          <t>ST-1033</t>
        </is>
      </c>
      <c r="B2" t="inlineStr">
        <is>
          <t>Tag</t>
        </is>
      </c>
      <c r="C2" t="n">
        <v>1112</v>
      </c>
      <c r="D2" t="n">
        <v>21.8</v>
      </c>
      <c r="E2" t="n">
        <v>0</v>
      </c>
      <c r="F2">
        <f>C2*D2*(1+E2)</f>
        <v/>
      </c>
      <c r="G2" t="b">
        <v>0</v>
      </c>
    </row>
    <row r="3">
      <c r="A3" t="inlineStr">
        <is>
          <t>ST-6219</t>
        </is>
      </c>
      <c r="B3" t="inlineStr">
        <is>
          <t>Hoodie</t>
        </is>
      </c>
      <c r="C3" t="n">
        <v>3694</v>
      </c>
      <c r="D3" t="n">
        <v>18.16</v>
      </c>
      <c r="E3" t="n">
        <v>0</v>
      </c>
      <c r="F3">
        <f>C3*D3*(1+E3)</f>
        <v/>
      </c>
      <c r="G3" t="b">
        <v>0</v>
      </c>
    </row>
    <row r="4">
      <c r="A4" t="inlineStr">
        <is>
          <t>ST-6386</t>
        </is>
      </c>
      <c r="B4" t="inlineStr">
        <is>
          <t>Pallet</t>
        </is>
      </c>
      <c r="C4" t="n">
        <v>244</v>
      </c>
      <c r="D4" t="n">
        <v>33.99</v>
      </c>
      <c r="E4" t="n">
        <v>0</v>
      </c>
      <c r="F4">
        <f>C4*D4*(1+E4)</f>
        <v/>
      </c>
      <c r="G4" t="b">
        <v>0</v>
      </c>
    </row>
    <row r="5">
      <c r="A5" t="inlineStr">
        <is>
          <t>ST-3748</t>
        </is>
      </c>
      <c r="B5" t="inlineStr">
        <is>
          <t>Leash</t>
        </is>
      </c>
      <c r="C5" t="n">
        <v>2193</v>
      </c>
      <c r="D5" t="n">
        <v>27.53</v>
      </c>
      <c r="E5" t="n">
        <v>0</v>
      </c>
      <c r="F5">
        <f>C5*D5*(1+E5)</f>
        <v/>
      </c>
      <c r="G5" t="b">
        <v>0</v>
      </c>
    </row>
    <row r="6">
      <c r="A6" t="inlineStr">
        <is>
          <t>ST-8870</t>
        </is>
      </c>
      <c r="B6" t="inlineStr">
        <is>
          <t>Tee</t>
        </is>
      </c>
      <c r="C6" t="n">
        <v>262</v>
      </c>
      <c r="D6" t="n">
        <v>1.24</v>
      </c>
      <c r="E6" t="n">
        <v>0.32</v>
      </c>
      <c r="F6">
        <f>C6*D6*(1+E6)</f>
        <v/>
      </c>
      <c r="G6" t="b">
        <v>1</v>
      </c>
    </row>
    <row r="7">
      <c r="A7" t="inlineStr">
        <is>
          <t>ST-8644</t>
        </is>
      </c>
      <c r="B7" t="inlineStr">
        <is>
          <t>Hoodie</t>
        </is>
      </c>
      <c r="C7" t="n">
        <v>3469</v>
      </c>
      <c r="D7" t="n">
        <v>27.69</v>
      </c>
      <c r="E7" t="n">
        <v>0.32</v>
      </c>
      <c r="F7">
        <f>C7*D7*(1+E7)</f>
        <v/>
      </c>
      <c r="G7" t="b">
        <v>0</v>
      </c>
    </row>
    <row r="8">
      <c r="A8" t="inlineStr">
        <is>
          <t>ST-3782</t>
        </is>
      </c>
      <c r="B8" t="inlineStr">
        <is>
          <t>Cap</t>
        </is>
      </c>
      <c r="C8" t="n">
        <v>4541</v>
      </c>
      <c r="D8" t="n">
        <v>9.16</v>
      </c>
      <c r="E8" t="n">
        <v>0.12</v>
      </c>
      <c r="F8">
        <f>C8*D8*(1+E8)</f>
        <v/>
      </c>
      <c r="G8" t="b">
        <v>0</v>
      </c>
    </row>
    <row r="9">
      <c r="A9" t="inlineStr">
        <is>
          <t>ST-6818</t>
        </is>
      </c>
      <c r="B9" t="inlineStr">
        <is>
          <t>Leash</t>
        </is>
      </c>
      <c r="C9" t="n">
        <v>2385</v>
      </c>
      <c r="D9" t="n">
        <v>35.24</v>
      </c>
      <c r="E9" t="n">
        <v>0</v>
      </c>
      <c r="F9">
        <f>C9*D9*(1+E9)</f>
        <v/>
      </c>
      <c r="G9" t="b">
        <v>1</v>
      </c>
    </row>
    <row r="10">
      <c r="A10" t="inlineStr">
        <is>
          <t>ST-5450</t>
        </is>
      </c>
      <c r="B10" t="inlineStr">
        <is>
          <t>Cap</t>
        </is>
      </c>
      <c r="C10" t="n">
        <v>2440</v>
      </c>
      <c r="D10" t="n">
        <v>4.95</v>
      </c>
      <c r="E10" t="n">
        <v>0.32</v>
      </c>
      <c r="F10">
        <f>C10*D10*(1+E10)</f>
        <v/>
      </c>
      <c r="G10" t="b">
        <v>1</v>
      </c>
    </row>
    <row r="11">
      <c r="A11" t="inlineStr">
        <is>
          <t>ST-8181</t>
        </is>
      </c>
      <c r="B11" t="inlineStr">
        <is>
          <t>Leash</t>
        </is>
      </c>
      <c r="C11" t="n">
        <v>2497</v>
      </c>
      <c r="D11" t="n">
        <v>11.08</v>
      </c>
      <c r="E11" t="n">
        <v>0.32</v>
      </c>
      <c r="F11">
        <f>C11*D11*(1+E11)</f>
        <v/>
      </c>
      <c r="G11" t="b">
        <v>1</v>
      </c>
    </row>
    <row r="12">
      <c r="A12" t="inlineStr">
        <is>
          <t>ST-6623</t>
        </is>
      </c>
      <c r="B12" t="inlineStr">
        <is>
          <t>Pallet</t>
        </is>
      </c>
      <c r="C12" t="n">
        <v>3946</v>
      </c>
      <c r="D12" t="n">
        <v>9.529999999999999</v>
      </c>
      <c r="E12" t="n">
        <v>0.12</v>
      </c>
      <c r="F12">
        <f>C12*D12*(1+E12)</f>
        <v/>
      </c>
      <c r="G12" t="b">
        <v>0</v>
      </c>
    </row>
    <row r="13">
      <c r="A13" t="inlineStr">
        <is>
          <t>ST-6139</t>
        </is>
      </c>
      <c r="B13" t="inlineStr">
        <is>
          <t>Tee</t>
        </is>
      </c>
      <c r="C13" t="n">
        <v>4507</v>
      </c>
      <c r="D13" t="n">
        <v>33.59</v>
      </c>
      <c r="E13" t="n">
        <v>0.32</v>
      </c>
      <c r="F13">
        <f>C13*D13*(1+E13)</f>
        <v/>
      </c>
      <c r="G13" t="b">
        <v>1</v>
      </c>
    </row>
    <row r="14">
      <c r="A14" t="inlineStr">
        <is>
          <t>ST-6443</t>
        </is>
      </c>
      <c r="B14" t="inlineStr">
        <is>
          <t>Tag</t>
        </is>
      </c>
      <c r="C14" t="n">
        <v>1353</v>
      </c>
      <c r="D14" t="n">
        <v>19.99</v>
      </c>
      <c r="E14" t="n">
        <v>0.32</v>
      </c>
      <c r="F14">
        <f>C14*D14*(1+E14)</f>
        <v/>
      </c>
      <c r="G14" t="b">
        <v>1</v>
      </c>
    </row>
    <row r="15">
      <c r="A15" t="inlineStr">
        <is>
          <t>ST-9718</t>
        </is>
      </c>
      <c r="B15" t="inlineStr">
        <is>
          <t>Leash</t>
        </is>
      </c>
      <c r="C15" t="n">
        <v>3856</v>
      </c>
      <c r="D15" t="n">
        <v>2.04</v>
      </c>
      <c r="E15" t="n">
        <v>0.32</v>
      </c>
      <c r="F15">
        <f>C15*D15*(1+E15)</f>
        <v/>
      </c>
      <c r="G15" t="b">
        <v>1</v>
      </c>
    </row>
    <row r="16">
      <c r="A16" t="inlineStr">
        <is>
          <t>ST-0201</t>
        </is>
      </c>
      <c r="B16" t="inlineStr">
        <is>
          <t>Hoodie</t>
        </is>
      </c>
      <c r="C16" t="n">
        <v>1393</v>
      </c>
      <c r="D16" t="n">
        <v>19.28</v>
      </c>
      <c r="E16" t="n">
        <v>0.12</v>
      </c>
      <c r="F16">
        <f>C16*D16*(1+E16)</f>
        <v/>
      </c>
      <c r="G16" t="b">
        <v>0</v>
      </c>
    </row>
    <row r="17">
      <c r="A17" t="inlineStr">
        <is>
          <t>ST-9466</t>
        </is>
      </c>
      <c r="B17" t="inlineStr">
        <is>
          <t>Tag</t>
        </is>
      </c>
      <c r="C17" t="n">
        <v>4220</v>
      </c>
      <c r="D17" t="n">
        <v>13.33</v>
      </c>
      <c r="E17" t="n">
        <v>0.32</v>
      </c>
      <c r="F17">
        <f>C17*D17*(1+E17)</f>
        <v/>
      </c>
      <c r="G17" t="b">
        <v>0</v>
      </c>
    </row>
    <row r="18">
      <c r="A18" t="inlineStr">
        <is>
          <t>ST-0093</t>
        </is>
      </c>
      <c r="B18" t="inlineStr">
        <is>
          <t>Pallet</t>
        </is>
      </c>
      <c r="C18" t="n">
        <v>4501</v>
      </c>
      <c r="D18" t="n">
        <v>23.3</v>
      </c>
      <c r="E18" t="n">
        <v>0.12</v>
      </c>
      <c r="F18">
        <f>C18*D18*(1+E18)</f>
        <v/>
      </c>
      <c r="G18" t="b">
        <v>1</v>
      </c>
    </row>
    <row r="19">
      <c r="A19" t="inlineStr">
        <is>
          <t>ST-7882</t>
        </is>
      </c>
      <c r="B19" t="inlineStr">
        <is>
          <t>Tag</t>
        </is>
      </c>
      <c r="C19" t="n">
        <v>3502</v>
      </c>
      <c r="D19" t="n">
        <v>36.11</v>
      </c>
      <c r="E19" t="n">
        <v>0.12</v>
      </c>
      <c r="F19">
        <f>C19*D19*(1+E19)</f>
        <v/>
      </c>
      <c r="G19" t="b">
        <v>0</v>
      </c>
    </row>
    <row r="20">
      <c r="A20" t="inlineStr">
        <is>
          <t>ST-6789</t>
        </is>
      </c>
      <c r="B20" t="inlineStr">
        <is>
          <t>Tag</t>
        </is>
      </c>
      <c r="C20" t="n">
        <v>3984</v>
      </c>
      <c r="D20" t="n">
        <v>30.98</v>
      </c>
      <c r="E20" t="n">
        <v>0</v>
      </c>
      <c r="F20">
        <f>C20*D20*(1+E20)</f>
        <v/>
      </c>
      <c r="G20" t="b">
        <v>0</v>
      </c>
    </row>
    <row r="21">
      <c r="A21" t="inlineStr">
        <is>
          <t>ST-3761</t>
        </is>
      </c>
      <c r="B21" t="inlineStr">
        <is>
          <t>Cap</t>
        </is>
      </c>
      <c r="C21" t="n">
        <v>3765</v>
      </c>
      <c r="D21" t="n">
        <v>22.95</v>
      </c>
      <c r="E21" t="n">
        <v>0.12</v>
      </c>
      <c r="F21">
        <f>C21*D21*(1+E21)</f>
        <v/>
      </c>
      <c r="G21" t="b">
        <v>1</v>
      </c>
    </row>
    <row r="22">
      <c r="A22" t="inlineStr">
        <is>
          <t>ST-4182</t>
        </is>
      </c>
      <c r="B22" t="inlineStr">
        <is>
          <t>Tee</t>
        </is>
      </c>
      <c r="C22" t="n">
        <v>762</v>
      </c>
      <c r="D22" t="n">
        <v>30.42</v>
      </c>
      <c r="E22" t="n">
        <v>0</v>
      </c>
      <c r="F22">
        <f>C22*D22*(1+E22)</f>
        <v/>
      </c>
      <c r="G22" t="b">
        <v>1</v>
      </c>
    </row>
    <row r="23">
      <c r="A23" t="inlineStr">
        <is>
          <t>ST-4607</t>
        </is>
      </c>
      <c r="B23" t="inlineStr">
        <is>
          <t>Hoodie</t>
        </is>
      </c>
      <c r="C23" t="n">
        <v>148</v>
      </c>
      <c r="D23" t="n">
        <v>17.43</v>
      </c>
      <c r="E23" t="n">
        <v>0.165</v>
      </c>
      <c r="F23">
        <f>C23*D23*(1+E23)</f>
        <v/>
      </c>
      <c r="G23" t="b">
        <v>1</v>
      </c>
    </row>
    <row r="24">
      <c r="A24" t="inlineStr">
        <is>
          <t>ST-1138</t>
        </is>
      </c>
      <c r="B24" t="inlineStr">
        <is>
          <t>Hoodie</t>
        </is>
      </c>
      <c r="C24" t="n">
        <v>1524</v>
      </c>
      <c r="D24" t="n">
        <v>13.35</v>
      </c>
      <c r="E24" t="n">
        <v>0.12</v>
      </c>
      <c r="F24">
        <f>C24*D24*(1+E24)</f>
        <v/>
      </c>
      <c r="G24" t="b">
        <v>0</v>
      </c>
    </row>
    <row r="25">
      <c r="A25" t="inlineStr">
        <is>
          <t>ST-4471</t>
        </is>
      </c>
      <c r="B25" t="inlineStr">
        <is>
          <t>Cap</t>
        </is>
      </c>
      <c r="C25" t="n">
        <v>4332</v>
      </c>
      <c r="D25" t="n">
        <v>36.19</v>
      </c>
      <c r="E25" t="n">
        <v>0.165</v>
      </c>
      <c r="F25">
        <f>C25*D25*(1+E25)</f>
        <v/>
      </c>
      <c r="G25" t="b">
        <v>0</v>
      </c>
    </row>
    <row r="26">
      <c r="A26" t="inlineStr">
        <is>
          <t>ST-1870</t>
        </is>
      </c>
      <c r="B26" t="inlineStr">
        <is>
          <t>Tee</t>
        </is>
      </c>
      <c r="C26" t="n">
        <v>2649</v>
      </c>
      <c r="D26" t="n">
        <v>19.07</v>
      </c>
      <c r="E26" t="n">
        <v>0.165</v>
      </c>
      <c r="F26">
        <f>C26*D26*(1+E26)</f>
        <v/>
      </c>
      <c r="G26" t="b">
        <v>0</v>
      </c>
    </row>
    <row r="27">
      <c r="A27" t="inlineStr">
        <is>
          <t>ST-3080</t>
        </is>
      </c>
      <c r="B27" t="inlineStr">
        <is>
          <t>Tag</t>
        </is>
      </c>
      <c r="C27" t="n">
        <v>2824</v>
      </c>
      <c r="D27" t="n">
        <v>16.23</v>
      </c>
      <c r="E27" t="n">
        <v>0</v>
      </c>
      <c r="F27">
        <f>C27*D27*(1+E27)</f>
        <v/>
      </c>
      <c r="G27" t="b">
        <v>0</v>
      </c>
    </row>
    <row r="28">
      <c r="A28" t="inlineStr">
        <is>
          <t>ST-9922</t>
        </is>
      </c>
      <c r="B28" t="inlineStr">
        <is>
          <t>Pallet</t>
        </is>
      </c>
      <c r="C28" t="n">
        <v>4190</v>
      </c>
      <c r="D28" t="n">
        <v>37.13</v>
      </c>
      <c r="E28" t="n">
        <v>0</v>
      </c>
      <c r="F28">
        <f>C28*D28*(1+E28)</f>
        <v/>
      </c>
      <c r="G28" t="b">
        <v>1</v>
      </c>
    </row>
    <row r="29">
      <c r="A29" t="inlineStr">
        <is>
          <t>ST-0578</t>
        </is>
      </c>
      <c r="B29" t="inlineStr">
        <is>
          <t>Cap</t>
        </is>
      </c>
      <c r="C29" t="n">
        <v>158</v>
      </c>
      <c r="D29" t="n">
        <v>15.34</v>
      </c>
      <c r="E29" t="n">
        <v>0.12</v>
      </c>
      <c r="F29">
        <f>C29*D29*(1+E29)</f>
        <v/>
      </c>
      <c r="G29" t="b">
        <v>0</v>
      </c>
    </row>
    <row r="30">
      <c r="A30" t="inlineStr">
        <is>
          <t>ST-8924</t>
        </is>
      </c>
      <c r="B30" t="inlineStr">
        <is>
          <t>Hoodie</t>
        </is>
      </c>
      <c r="C30" t="n">
        <v>4159</v>
      </c>
      <c r="D30" t="n">
        <v>25.9</v>
      </c>
      <c r="E30" t="n">
        <v>0.32</v>
      </c>
      <c r="F30">
        <f>C30*D30*(1+E30)</f>
        <v/>
      </c>
      <c r="G30" t="b">
        <v>1</v>
      </c>
    </row>
    <row r="31">
      <c r="A31" t="inlineStr">
        <is>
          <t>ST-6470</t>
        </is>
      </c>
      <c r="B31" t="inlineStr">
        <is>
          <t>Cap</t>
        </is>
      </c>
      <c r="C31" t="n">
        <v>4303</v>
      </c>
      <c r="D31" t="n">
        <v>24.78</v>
      </c>
      <c r="E31" t="n">
        <v>0.165</v>
      </c>
      <c r="F31">
        <f>C31*D31*(1+E31)</f>
        <v/>
      </c>
      <c r="G31" t="b">
        <v>0</v>
      </c>
    </row>
    <row r="32">
      <c r="A32" t="inlineStr">
        <is>
          <t>ST-2059</t>
        </is>
      </c>
      <c r="B32" t="inlineStr">
        <is>
          <t>Hoodie</t>
        </is>
      </c>
      <c r="C32" t="n">
        <v>493</v>
      </c>
      <c r="D32" t="n">
        <v>28.13</v>
      </c>
      <c r="E32" t="n">
        <v>0</v>
      </c>
      <c r="F32">
        <f>C32*D32*(1+E32)</f>
        <v/>
      </c>
      <c r="G32" t="b">
        <v>0</v>
      </c>
    </row>
    <row r="33">
      <c r="A33" t="inlineStr">
        <is>
          <t>ST-5084</t>
        </is>
      </c>
      <c r="B33" t="inlineStr">
        <is>
          <t>Tag</t>
        </is>
      </c>
      <c r="C33" t="n">
        <v>591</v>
      </c>
      <c r="D33" t="n">
        <v>32.68</v>
      </c>
      <c r="E33" t="n">
        <v>0.12</v>
      </c>
      <c r="F33">
        <f>C33*D33*(1+E33)</f>
        <v/>
      </c>
      <c r="G33" t="b">
        <v>0</v>
      </c>
    </row>
    <row r="34">
      <c r="A34" t="inlineStr">
        <is>
          <t>ST-0138</t>
        </is>
      </c>
      <c r="B34" t="inlineStr">
        <is>
          <t>Leash</t>
        </is>
      </c>
      <c r="C34" t="n">
        <v>4639</v>
      </c>
      <c r="D34" t="n">
        <v>9.890000000000001</v>
      </c>
      <c r="E34" t="n">
        <v>0</v>
      </c>
      <c r="F34">
        <f>C34*D34*(1+E34)</f>
        <v/>
      </c>
      <c r="G34" t="b">
        <v>1</v>
      </c>
    </row>
    <row r="35">
      <c r="A35" t="inlineStr">
        <is>
          <t>ST-8337</t>
        </is>
      </c>
      <c r="B35" t="inlineStr">
        <is>
          <t>Tee</t>
        </is>
      </c>
      <c r="C35" t="n">
        <v>4683</v>
      </c>
      <c r="D35" t="n">
        <v>17.73</v>
      </c>
      <c r="E35" t="n">
        <v>0.32</v>
      </c>
      <c r="F35">
        <f>C35*D35*(1+E35)</f>
        <v/>
      </c>
      <c r="G35" t="b">
        <v>1</v>
      </c>
    </row>
    <row r="36">
      <c r="A36" t="inlineStr">
        <is>
          <t>ST-9394</t>
        </is>
      </c>
      <c r="B36" t="inlineStr">
        <is>
          <t>Cap</t>
        </is>
      </c>
      <c r="C36" t="n">
        <v>2854</v>
      </c>
      <c r="D36" t="n">
        <v>4.12</v>
      </c>
      <c r="E36" t="n">
        <v>0.32</v>
      </c>
      <c r="F36">
        <f>C36*D36*(1+E36)</f>
        <v/>
      </c>
      <c r="G36" t="b">
        <v>1</v>
      </c>
    </row>
    <row r="37">
      <c r="A37" t="inlineStr">
        <is>
          <t>ST-6390</t>
        </is>
      </c>
      <c r="B37" t="inlineStr">
        <is>
          <t>Tag</t>
        </is>
      </c>
      <c r="C37" t="n">
        <v>4045</v>
      </c>
      <c r="D37" t="n">
        <v>4.33</v>
      </c>
      <c r="E37" t="n">
        <v>0.32</v>
      </c>
      <c r="F37">
        <f>C37*D37*(1+E37)</f>
        <v/>
      </c>
      <c r="G37" t="b">
        <v>1</v>
      </c>
    </row>
    <row r="38">
      <c r="A38" t="inlineStr">
        <is>
          <t>ST-6591</t>
        </is>
      </c>
      <c r="B38" t="inlineStr">
        <is>
          <t>Tag</t>
        </is>
      </c>
      <c r="C38" t="n">
        <v>2677</v>
      </c>
      <c r="D38" t="n">
        <v>23.42</v>
      </c>
      <c r="E38" t="n">
        <v>0</v>
      </c>
      <c r="F38">
        <f>C38*D38*(1+E38)</f>
        <v/>
      </c>
      <c r="G38" t="b">
        <v>1</v>
      </c>
    </row>
    <row r="39">
      <c r="A39" t="inlineStr">
        <is>
          <t>ST-9229</t>
        </is>
      </c>
      <c r="B39" t="inlineStr">
        <is>
          <t>Hoodie</t>
        </is>
      </c>
      <c r="C39" t="n">
        <v>1657</v>
      </c>
      <c r="D39" t="n">
        <v>32.64</v>
      </c>
      <c r="E39" t="n">
        <v>0.165</v>
      </c>
      <c r="F39">
        <f>C39*D39*(1+E39)</f>
        <v/>
      </c>
      <c r="G39" t="b">
        <v>0</v>
      </c>
    </row>
    <row r="40">
      <c r="A40" t="inlineStr">
        <is>
          <t>ST-1579</t>
        </is>
      </c>
      <c r="B40" t="inlineStr">
        <is>
          <t>Pallet</t>
        </is>
      </c>
      <c r="C40" t="n">
        <v>1757</v>
      </c>
      <c r="D40" t="n">
        <v>10.42</v>
      </c>
      <c r="E40" t="n">
        <v>0.165</v>
      </c>
      <c r="F40">
        <f>C40*D40*(1+E40)</f>
        <v/>
      </c>
      <c r="G40" t="b">
        <v>0</v>
      </c>
    </row>
    <row r="41">
      <c r="A41" t="inlineStr">
        <is>
          <t>ST-0661</t>
        </is>
      </c>
      <c r="B41" t="inlineStr">
        <is>
          <t>Tee</t>
        </is>
      </c>
      <c r="C41" t="n">
        <v>4374</v>
      </c>
      <c r="D41" t="n">
        <v>9.220000000000001</v>
      </c>
      <c r="E41" t="n">
        <v>0.12</v>
      </c>
      <c r="F41">
        <f>C41*D41*(1+E41)</f>
        <v/>
      </c>
      <c r="G41" t="b">
        <v>1</v>
      </c>
    </row>
    <row r="42">
      <c r="A42" t="inlineStr"/>
      <c r="B42" t="inlineStr">
        <is>
          <t>Total</t>
        </is>
      </c>
      <c r="C42">
        <f>SUM(C2:C41)</f>
        <v/>
      </c>
      <c r="F42">
        <f>SUM(F2:F41)</f>
        <v/>
      </c>
    </row>
  </sheetData>
  <pageMargins left="0.75" right="0.75" top="1" bottom="1" header="0.5" footer="0.5"/>
  <drawing xmlns:r="http://schemas.openxmlformats.org/officeDocument/2006/relationships" r:id="rIdDr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Description</t>
        </is>
      </c>
      <c r="C1" t="inlineStr">
        <is>
          <t>Qty</t>
        </is>
      </c>
      <c r="D1" t="inlineStr">
        <is>
          <t>FOB</t>
        </is>
      </c>
      <c r="E1" t="inlineStr">
        <is>
          <t>Duty %</t>
        </is>
      </c>
      <c r="F1" t="inlineStr">
        <is>
          <t>Landed</t>
        </is>
      </c>
      <c r="G1" t="inlineStr">
        <is>
          <t>Ships</t>
        </is>
      </c>
    </row>
    <row r="2">
      <c r="A2" t="inlineStr">
        <is>
          <t>ST-5915</t>
        </is>
      </c>
      <c r="B2" t="inlineStr">
        <is>
          <t>Hoodie</t>
        </is>
      </c>
      <c r="C2" t="n">
        <v>475</v>
      </c>
      <c r="D2" t="n">
        <v>3.84</v>
      </c>
      <c r="E2" t="n">
        <v>0.165</v>
      </c>
      <c r="F2">
        <f>C2*D2*(1+E2)</f>
        <v/>
      </c>
      <c r="G2" t="b">
        <v>0</v>
      </c>
    </row>
    <row r="3">
      <c r="A3" t="inlineStr">
        <is>
          <t>ST-0585</t>
        </is>
      </c>
      <c r="B3" t="inlineStr">
        <is>
          <t>Leash</t>
        </is>
      </c>
      <c r="C3" t="n">
        <v>4975</v>
      </c>
      <c r="D3" t="n">
        <v>8.380000000000001</v>
      </c>
      <c r="E3" t="n">
        <v>0.12</v>
      </c>
      <c r="F3">
        <f>C3*D3*(1+E3)</f>
        <v/>
      </c>
      <c r="G3" t="b">
        <v>0</v>
      </c>
    </row>
    <row r="4">
      <c r="A4" t="inlineStr">
        <is>
          <t>ST-8340</t>
        </is>
      </c>
      <c r="B4" t="inlineStr">
        <is>
          <t>Tag</t>
        </is>
      </c>
      <c r="C4" t="n">
        <v>3235</v>
      </c>
      <c r="D4" t="n">
        <v>30.62</v>
      </c>
      <c r="E4" t="n">
        <v>0.32</v>
      </c>
      <c r="F4">
        <f>C4*D4*(1+E4)</f>
        <v/>
      </c>
      <c r="G4" t="b">
        <v>0</v>
      </c>
    </row>
    <row r="5">
      <c r="A5" t="inlineStr">
        <is>
          <t>ST-5964</t>
        </is>
      </c>
      <c r="B5" t="inlineStr">
        <is>
          <t>Pallet</t>
        </is>
      </c>
      <c r="C5" t="n">
        <v>306</v>
      </c>
      <c r="D5" t="n">
        <v>33.15</v>
      </c>
      <c r="E5" t="n">
        <v>0.165</v>
      </c>
      <c r="F5">
        <f>C5*D5*(1+E5)</f>
        <v/>
      </c>
      <c r="G5" t="b">
        <v>0</v>
      </c>
    </row>
    <row r="6">
      <c r="A6" t="inlineStr">
        <is>
          <t>ST-8613</t>
        </is>
      </c>
      <c r="B6" t="inlineStr">
        <is>
          <t>Hoodie</t>
        </is>
      </c>
      <c r="C6" t="n">
        <v>3482</v>
      </c>
      <c r="D6" t="n">
        <v>33.93</v>
      </c>
      <c r="E6" t="n">
        <v>0.12</v>
      </c>
      <c r="F6">
        <f>C6*D6*(1+E6)</f>
        <v/>
      </c>
      <c r="G6" t="b">
        <v>1</v>
      </c>
    </row>
    <row r="7">
      <c r="A7" t="inlineStr">
        <is>
          <t>ST-5327</t>
        </is>
      </c>
      <c r="B7" t="inlineStr">
        <is>
          <t>Hoodie</t>
        </is>
      </c>
      <c r="C7" t="n">
        <v>1901</v>
      </c>
      <c r="D7" t="n">
        <v>1.3</v>
      </c>
      <c r="E7" t="n">
        <v>0.12</v>
      </c>
      <c r="F7">
        <f>C7*D7*(1+E7)</f>
        <v/>
      </c>
      <c r="G7" t="b">
        <v>0</v>
      </c>
    </row>
    <row r="8">
      <c r="A8" t="inlineStr">
        <is>
          <t>ST-2979</t>
        </is>
      </c>
      <c r="B8" t="inlineStr">
        <is>
          <t>Pallet</t>
        </is>
      </c>
      <c r="C8" t="n">
        <v>4220</v>
      </c>
      <c r="D8" t="n">
        <v>25.76</v>
      </c>
      <c r="E8" t="n">
        <v>0.32</v>
      </c>
      <c r="F8">
        <f>C8*D8*(1+E8)</f>
        <v/>
      </c>
      <c r="G8" t="b">
        <v>0</v>
      </c>
    </row>
    <row r="9">
      <c r="A9" t="inlineStr">
        <is>
          <t>ST-7303</t>
        </is>
      </c>
      <c r="B9" t="inlineStr">
        <is>
          <t>Hoodie</t>
        </is>
      </c>
      <c r="C9" t="n">
        <v>4873</v>
      </c>
      <c r="D9" t="n">
        <v>13.7</v>
      </c>
      <c r="E9" t="n">
        <v>0.32</v>
      </c>
      <c r="F9">
        <f>C9*D9*(1+E9)</f>
        <v/>
      </c>
      <c r="G9" t="b">
        <v>0</v>
      </c>
    </row>
    <row r="10">
      <c r="A10" t="inlineStr">
        <is>
          <t>ST-4572</t>
        </is>
      </c>
      <c r="B10" t="inlineStr">
        <is>
          <t>Pallet</t>
        </is>
      </c>
      <c r="C10" t="n">
        <v>4356</v>
      </c>
      <c r="D10" t="n">
        <v>9.800000000000001</v>
      </c>
      <c r="E10" t="n">
        <v>0.165</v>
      </c>
      <c r="F10">
        <f>C10*D10*(1+E10)</f>
        <v/>
      </c>
      <c r="G10" t="b">
        <v>0</v>
      </c>
    </row>
    <row r="11">
      <c r="A11" t="inlineStr">
        <is>
          <t>ST-9135</t>
        </is>
      </c>
      <c r="B11" t="inlineStr">
        <is>
          <t>Cap</t>
        </is>
      </c>
      <c r="C11" t="n">
        <v>3788</v>
      </c>
      <c r="D11" t="n">
        <v>13.59</v>
      </c>
      <c r="E11" t="n">
        <v>0.32</v>
      </c>
      <c r="F11">
        <f>C11*D11*(1+E11)</f>
        <v/>
      </c>
      <c r="G11" t="b">
        <v>0</v>
      </c>
    </row>
    <row r="12">
      <c r="A12" t="inlineStr">
        <is>
          <t>ST-2720</t>
        </is>
      </c>
      <c r="B12" t="inlineStr">
        <is>
          <t>Leash</t>
        </is>
      </c>
      <c r="C12" t="n">
        <v>1829</v>
      </c>
      <c r="D12" t="n">
        <v>35.77</v>
      </c>
      <c r="E12" t="n">
        <v>0.165</v>
      </c>
      <c r="F12">
        <f>C12*D12*(1+E12)</f>
        <v/>
      </c>
      <c r="G12" t="b">
        <v>0</v>
      </c>
    </row>
    <row r="13">
      <c r="A13" t="inlineStr">
        <is>
          <t>ST-8261</t>
        </is>
      </c>
      <c r="B13" t="inlineStr">
        <is>
          <t>Leash</t>
        </is>
      </c>
      <c r="C13" t="n">
        <v>2547</v>
      </c>
      <c r="D13" t="n">
        <v>11.8</v>
      </c>
      <c r="E13" t="n">
        <v>0.32</v>
      </c>
      <c r="F13">
        <f>C13*D13*(1+E13)</f>
        <v/>
      </c>
      <c r="G13" t="b">
        <v>0</v>
      </c>
    </row>
    <row r="14">
      <c r="A14" t="inlineStr"/>
      <c r="B14" t="inlineStr">
        <is>
          <t>Total</t>
        </is>
      </c>
      <c r="C14">
        <f>SUM(C2:C13)</f>
        <v/>
      </c>
      <c r="F14">
        <f>SUM(F2:F13)</f>
        <v/>
      </c>
    </row>
  </sheetData>
  <pageMargins left="0.75" right="0.75" top="1" bottom="1" header="0.5" footer="0.5"/>
  <drawing xmlns:r="http://schemas.openxmlformats.org/officeDocument/2006/relationships" r:id="rIdDr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snuffler fixtures</dc:creator>
  <dcterms:created xsi:type="dcterms:W3CDTF">2026-01-01T00:00:00Z</dcterms:created>
  <dcterms:modified xsi:type="dcterms:W3CDTF">2026-01-01T00:00:00Z</dcterms:modified>
</cp:coreProperties>
</file>